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2353C67B-9C42-4BDE-8D71-C99AAFB27D5E}" xr6:coauthVersionLast="47" xr6:coauthVersionMax="47" xr10:uidLastSave="{00000000-0000-0000-0000-000000000000}"/>
  <bookViews>
    <workbookView xWindow="-110" yWindow="-110" windowWidth="25820" windowHeight="15500" activeTab="3" xr2:uid="{2816E554-FCD7-0546-AE17-D0DED6930818}"/>
  </bookViews>
  <sheets>
    <sheet name="AsianPaints" sheetId="1" r:id="rId1"/>
    <sheet name="SBI" sheetId="2" r:id="rId2"/>
    <sheet name="Tata steel" sheetId="3" r:id="rId3"/>
    <sheet name="Simulated Pri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8" i="3" s="1"/>
  <c r="C17" i="3"/>
  <c r="C18" i="3" s="1"/>
  <c r="E17" i="2"/>
  <c r="C17" i="2"/>
  <c r="C17" i="1"/>
  <c r="E17" i="1"/>
  <c r="E18" i="1" s="1"/>
  <c r="C18" i="1"/>
  <c r="E18" i="2"/>
  <c r="C18" i="2"/>
  <c r="B15" i="1"/>
  <c r="B15" i="2"/>
  <c r="B15" i="3"/>
</calcChain>
</file>

<file path=xl/sharedStrings.xml><?xml version="1.0" encoding="utf-8"?>
<sst xmlns="http://schemas.openxmlformats.org/spreadsheetml/2006/main" count="187" uniqueCount="84">
  <si>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</si>
  <si>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</si>
  <si>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</si>
  <si>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</si>
  <si>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</si>
  <si>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</si>
  <si>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</si>
  <si>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</si>
  <si>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</si>
  <si>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</si>
  <si>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</si>
  <si>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</si>
  <si>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</si>
  <si>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NO. OF  TRADES</t>
  </si>
  <si>
    <t>EQ</t>
  </si>
  <si>
    <t>Human Prediction</t>
  </si>
  <si>
    <t>AI Prediction</t>
  </si>
  <si>
    <t>Variance %</t>
  </si>
  <si>
    <t>Variance</t>
  </si>
  <si>
    <t>Participant</t>
  </si>
  <si>
    <t>Forecast</t>
  </si>
  <si>
    <t>Reasoning</t>
  </si>
  <si>
    <t>Dominant Bias</t>
  </si>
  <si>
    <t>Student 1</t>
  </si>
  <si>
    <t>"China is reopening its factories. Steel demand will skyrocket."</t>
  </si>
  <si>
    <t>Narrative Fallacy</t>
  </si>
  <si>
    <t>Student 2</t>
  </si>
  <si>
    <t>"160 is a huge resistance level. It will touch it and likely reject."</t>
  </si>
  <si>
    <r>
      <t>Framing Effect</t>
    </r>
    <r>
      <rPr>
        <sz val="12"/>
        <color rgb="FF1F1F1F"/>
        <rFont val="Arial"/>
        <family val="2"/>
      </rPr>
      <t xml:space="preserve"> (Focusing on the ceiling).</t>
    </r>
  </si>
  <si>
    <t>Student 3</t>
  </si>
  <si>
    <t>"I lost money on this last time. I don't trust it to move much."</t>
  </si>
  <si>
    <r>
      <t>Snake Bite Effect</t>
    </r>
    <r>
      <rPr>
        <sz val="12"/>
        <color rgb="FF1F1F1F"/>
        <rFont val="Arial"/>
        <family val="2"/>
      </rPr>
      <t xml:space="preserve"> (Risk aversion from past trauma).</t>
    </r>
  </si>
  <si>
    <t>Student 4</t>
  </si>
  <si>
    <t>"It’s cheap! A stock under 200 feels like a bargain compared to MRF."</t>
  </si>
  <si>
    <r>
      <t>Unit Bias</t>
    </r>
    <r>
      <rPr>
        <sz val="12"/>
        <color rgb="FF1F1F1F"/>
        <rFont val="Arial"/>
        <family val="2"/>
      </rPr>
      <t xml:space="preserve"> (Preferring "cheaper" unit prices ignoring market cap).</t>
    </r>
  </si>
  <si>
    <t>Student 5</t>
  </si>
  <si>
    <t>"My portfolio is down, I need this one to perform to balance it out."</t>
  </si>
  <si>
    <t>Loss Aversion</t>
  </si>
  <si>
    <t>Student 6</t>
  </si>
  <si>
    <t>"The moving average crossover just happened. Buy signal!"</t>
  </si>
  <si>
    <r>
      <t>Illusion of Control</t>
    </r>
    <r>
      <rPr>
        <sz val="12"/>
        <color rgb="FF1F1F1F"/>
        <rFont val="Arial"/>
        <family val="2"/>
      </rPr>
      <t xml:space="preserve"> (Reliance on technicals).</t>
    </r>
  </si>
  <si>
    <t>Student 7</t>
  </si>
  <si>
    <t>"We are entering a commodity supercycle. This is just the start."</t>
  </si>
  <si>
    <t>Overconfidence Bias</t>
  </si>
  <si>
    <t>AVERAGE</t>
  </si>
  <si>
    <t>STOCK</t>
  </si>
  <si>
    <t>CHANGE (%)</t>
  </si>
  <si>
    <t>NO. OF TRADES</t>
  </si>
  <si>
    <t>Asian Paints</t>
  </si>
  <si>
    <t>SBI</t>
  </si>
  <si>
    <t>Tata Steel</t>
  </si>
  <si>
    <t>"The government is pushing capex. PSUs always rally in December."</t>
  </si>
  <si>
    <t>Confirmation Bias</t>
  </si>
  <si>
    <t>"It’s been consolidating here for weeks. I expect more of the same."</t>
  </si>
  <si>
    <t>Status Quo Bias</t>
  </si>
  <si>
    <t>"I saw a YouTube video saying SBI is targeting 1000 soon."</t>
  </si>
  <si>
    <t>Availability Heuristic</t>
  </si>
  <si>
    <t>"Everyone in the class is buying calls. I’ll just stick with the average."</t>
  </si>
  <si>
    <t>Bandwagon Effect</t>
  </si>
  <si>
    <t>"I sold at 900, so I hope it doesn't go up too much more."</t>
  </si>
  <si>
    <t>Self-Serving Bias</t>
  </si>
  <si>
    <t>"Markets are at all-time highs; a crash is inevitable."</t>
  </si>
  <si>
    <t>Pessimism Bias</t>
  </si>
  <si>
    <t>"If HDFC moves, SBI has to move to maintain the Bank Nifty ratio."</t>
  </si>
  <si>
    <t>Correlation Illusion</t>
  </si>
  <si>
    <t>Variance:</t>
  </si>
  <si>
    <t>Variance %:</t>
  </si>
  <si>
    <t>Human vs Sim</t>
  </si>
  <si>
    <t>AI vs Sim</t>
  </si>
  <si>
    <t>Student</t>
  </si>
  <si>
    <t>"It used to be 3,500! At 2,780, it's a steal. It has to go back to the highs."</t>
  </si>
  <si>
    <r>
      <t>Anchoring Bias</t>
    </r>
    <r>
      <rPr>
        <sz val="12"/>
        <color rgb="FF1F1F1F"/>
        <rFont val="Arial"/>
        <family val="2"/>
      </rPr>
      <t xml:space="preserve"> (Fixating on the past All-Time High price).</t>
    </r>
  </si>
  <si>
    <t>"It's been falling for months. The trend is down, I think it touches 2,700 first."</t>
  </si>
  <si>
    <r>
      <t>Recency Bias</t>
    </r>
    <r>
      <rPr>
        <sz val="12"/>
        <color rgb="FF1F1F1F"/>
        <rFont val="Arial"/>
        <family val="2"/>
      </rPr>
      <t xml:space="preserve"> (Projecting the recent downtrend into the future).</t>
    </r>
  </si>
  <si>
    <t>"It's Asian Paints. The market leader always recovers. Never bet against quality."</t>
  </si>
  <si>
    <r>
      <t>Halo Effect</t>
    </r>
    <r>
      <rPr>
        <sz val="12"/>
        <color rgb="FF1F1F1F"/>
        <rFont val="Arial"/>
        <family val="2"/>
      </rPr>
      <t xml:space="preserve"> (Blind trust in the brand reputation).</t>
    </r>
  </si>
  <si>
    <t>"Crude oil is down 2%. That means their margins will expand next quarter."</t>
  </si>
  <si>
    <r>
      <t>Narrative Fallacy</t>
    </r>
    <r>
      <rPr>
        <sz val="12"/>
        <color rgb="FF1F1F1F"/>
        <rFont val="Arial"/>
        <family val="2"/>
      </rPr>
      <t xml:space="preserve"> (Oversimplifying the crude-to-paint correlation).</t>
    </r>
  </si>
  <si>
    <t>"I bought at 3,000. I'm just holding until I break even. I won't sell below 3,000."</t>
  </si>
  <si>
    <r>
      <t>Disposition Effect</t>
    </r>
    <r>
      <rPr>
        <sz val="12"/>
        <color rgb="FF1F1F1F"/>
        <rFont val="Arial"/>
        <family val="2"/>
      </rPr>
      <t xml:space="preserve"> (Holding a loser waiting for a break-even).</t>
    </r>
  </si>
  <si>
    <t>"RSI is below 30 (Oversold). A technical bounce is statistically inevitable."</t>
  </si>
  <si>
    <r>
      <t>Gambler’s Fallacy</t>
    </r>
    <r>
      <rPr>
        <sz val="12"/>
        <color rgb="FF1F1F1F"/>
        <rFont val="Arial"/>
        <family val="2"/>
      </rPr>
      <t xml:space="preserve"> (Believing a reversal is "due" just because it fell).</t>
    </r>
  </si>
  <si>
    <t>"Grasim (Birla Opus) is eating their market share. The monopoly is over."</t>
  </si>
  <si>
    <r>
      <t>Availability Heuristic</t>
    </r>
    <r>
      <rPr>
        <sz val="12"/>
        <color rgb="FF1F1F1F"/>
        <rFont val="Arial"/>
        <family val="2"/>
      </rPr>
      <t xml:space="preserve"> (Overweighting the most recent/scary news headline).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</si>
</sst>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6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15" fontId="4" fillId="0" borderId="1" xfId="0" applyNumberFormat="1" applyFont="1" applyBorder="1" applyAlignment="1">
      <alignment horizontal="left" vertical="center" wrapText="1" indent="1" readingOrder="1"/>
    </xf>
    <xf numFmtId="10" fontId="4" fillId="0" borderId="1" xfId="0" applyNumberFormat="1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4" fontId="0" fillId="0" borderId="0" xfId="0" applyNumberFormat="1"/>
    <xf numFmtId="4" fontId="3" fillId="0" borderId="1" xfId="0" applyNumberFormat="1" applyFont="1" applyBorder="1" applyAlignment="1">
      <alignment horizontal="left" vertical="center" wrapText="1" indent="1" readingOrder="1"/>
    </xf>
    <xf numFmtId="0" fontId="5" fillId="0" borderId="0" xfId="0" applyFont="1"/>
    <xf numFmtId="2" fontId="0" fillId="0" borderId="0" xfId="0" applyNumberFormat="1"/>
    <xf numFmtId="3" fontId="4" fillId="0" borderId="1" xfId="0" applyNumberFormat="1" applyFont="1" applyBorder="1" applyAlignment="1">
      <alignment horizontal="left" vertical="center" wrapText="1" indent="1" readingOrder="1"/>
    </xf>
    <xf numFmtId="4" fontId="4" fillId="0" borderId="1" xfId="0" applyNumberFormat="1" applyFont="1" applyBorder="1" applyAlignment="1">
      <alignment horizontal="left" vertical="center" wrapText="1" indent="1" readingOrder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8718-8E58-FF4B-8F0E-36C37A128EC6}">
  <dimension ref="A1:N28"/>
  <sheetViews>
    <sheetView workbookViewId="0">
      <selection activeCell="C18" sqref="C18"/>
    </sheetView>
  </sheetViews>
  <sheetFormatPr defaultColWidth="10.6640625" defaultRowHeight="16"/>
  <cols>
    <col min="1" max="1" width="15.1640625" bestFit="1" customWidth="1"/>
    <col min="2" max="2" width="12.5" bestFit="1" customWidth="1"/>
    <col min="3" max="3" width="14.75" customWidth="1"/>
    <col min="4" max="4" width="15.1640625" customWidth="1"/>
    <col min="5" max="5" width="10.83203125" bestFit="1" customWidth="1"/>
    <col min="13" max="13" width="15.66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45989</v>
      </c>
      <c r="B2" s="3" t="s">
        <v>14</v>
      </c>
      <c r="C2" s="4">
        <v>2880</v>
      </c>
      <c r="D2" s="4">
        <v>2889.9</v>
      </c>
      <c r="E2" s="4">
        <v>2855.8</v>
      </c>
      <c r="F2" s="4">
        <v>2879.1</v>
      </c>
      <c r="G2" s="4">
        <v>2872.6</v>
      </c>
      <c r="H2" s="4">
        <v>2874.4</v>
      </c>
      <c r="I2" s="4">
        <v>2874.51</v>
      </c>
      <c r="J2" s="4">
        <v>2926.9</v>
      </c>
      <c r="K2" s="4">
        <v>2124.75</v>
      </c>
      <c r="L2" s="3">
        <v>748446</v>
      </c>
      <c r="M2" s="4">
        <v>2151417620.1999998</v>
      </c>
      <c r="N2" s="3">
        <v>49967</v>
      </c>
    </row>
    <row r="3" spans="1:14">
      <c r="A3" s="2">
        <v>45961</v>
      </c>
      <c r="B3" s="3" t="s">
        <v>14</v>
      </c>
      <c r="C3" s="4">
        <v>2523.4</v>
      </c>
      <c r="D3" s="4">
        <v>2530</v>
      </c>
      <c r="E3" s="4">
        <v>2505.3000000000002</v>
      </c>
      <c r="F3" s="4">
        <v>2523.5</v>
      </c>
      <c r="G3" s="4">
        <v>2508.1</v>
      </c>
      <c r="H3" s="4">
        <v>2510.8000000000002</v>
      </c>
      <c r="I3" s="4">
        <v>2515.2399999999998</v>
      </c>
      <c r="J3" s="4">
        <v>3028</v>
      </c>
      <c r="K3" s="4">
        <v>2124.75</v>
      </c>
      <c r="L3" s="3">
        <v>609128</v>
      </c>
      <c r="M3" s="4">
        <v>1532103170.5</v>
      </c>
      <c r="N3" s="3">
        <v>43085</v>
      </c>
    </row>
    <row r="4" spans="1:14">
      <c r="A4" s="2">
        <v>45930</v>
      </c>
      <c r="B4" s="3" t="s">
        <v>14</v>
      </c>
      <c r="C4" s="4">
        <v>2352</v>
      </c>
      <c r="D4" s="4">
        <v>2388.8000000000002</v>
      </c>
      <c r="E4" s="4">
        <v>2340</v>
      </c>
      <c r="F4" s="4">
        <v>2342.6</v>
      </c>
      <c r="G4" s="4">
        <v>2353</v>
      </c>
      <c r="H4" s="4">
        <v>2350</v>
      </c>
      <c r="I4" s="4">
        <v>2353.5500000000002</v>
      </c>
      <c r="J4" s="4">
        <v>3358</v>
      </c>
      <c r="K4" s="4">
        <v>2124.75</v>
      </c>
      <c r="L4" s="3">
        <v>778874</v>
      </c>
      <c r="M4" s="4">
        <v>1833117902</v>
      </c>
      <c r="N4" s="3">
        <v>56814</v>
      </c>
    </row>
    <row r="5" spans="1:14">
      <c r="A5" s="2">
        <v>45898</v>
      </c>
      <c r="B5" s="3" t="s">
        <v>14</v>
      </c>
      <c r="C5" s="4">
        <v>2491</v>
      </c>
      <c r="D5" s="4">
        <v>2531.6</v>
      </c>
      <c r="E5" s="4">
        <v>2490</v>
      </c>
      <c r="F5" s="4">
        <v>2489</v>
      </c>
      <c r="G5" s="4">
        <v>2520</v>
      </c>
      <c r="H5" s="4">
        <v>2518.6</v>
      </c>
      <c r="I5" s="4">
        <v>2513.2199999999998</v>
      </c>
      <c r="J5" s="4">
        <v>3394.9</v>
      </c>
      <c r="K5" s="4">
        <v>2124.75</v>
      </c>
      <c r="L5" s="3">
        <v>1798653</v>
      </c>
      <c r="M5" s="4">
        <v>4520402451.1999998</v>
      </c>
      <c r="N5" s="3">
        <v>105469</v>
      </c>
    </row>
    <row r="6" spans="1:14">
      <c r="A6" s="2">
        <v>45869</v>
      </c>
      <c r="B6" s="3" t="s">
        <v>14</v>
      </c>
      <c r="C6" s="4">
        <v>2401.4</v>
      </c>
      <c r="D6" s="4">
        <v>2417.1999999999998</v>
      </c>
      <c r="E6" s="4">
        <v>2373.5</v>
      </c>
      <c r="F6" s="4">
        <v>2415.8000000000002</v>
      </c>
      <c r="G6" s="4">
        <v>2391</v>
      </c>
      <c r="H6" s="4">
        <v>2396.1</v>
      </c>
      <c r="I6" s="4">
        <v>2399.7199999999998</v>
      </c>
      <c r="J6" s="4">
        <v>3394.9</v>
      </c>
      <c r="K6" s="4">
        <v>2124.75</v>
      </c>
      <c r="L6" s="3">
        <v>1274735</v>
      </c>
      <c r="M6" s="4">
        <v>3059012568.5</v>
      </c>
      <c r="N6" s="3">
        <v>86988</v>
      </c>
    </row>
    <row r="7" spans="1:14">
      <c r="A7" s="2">
        <v>45838</v>
      </c>
      <c r="B7" s="3" t="s">
        <v>14</v>
      </c>
      <c r="C7" s="4">
        <v>2362</v>
      </c>
      <c r="D7" s="4">
        <v>2369.9</v>
      </c>
      <c r="E7" s="4">
        <v>2326.1</v>
      </c>
      <c r="F7" s="4">
        <v>2358.6999999999998</v>
      </c>
      <c r="G7" s="4">
        <v>2341.9</v>
      </c>
      <c r="H7" s="4">
        <v>2341.1</v>
      </c>
      <c r="I7" s="4">
        <v>2341.1799999999998</v>
      </c>
      <c r="J7" s="4">
        <v>3394.9</v>
      </c>
      <c r="K7" s="4">
        <v>2124.75</v>
      </c>
      <c r="L7" s="3">
        <v>785414</v>
      </c>
      <c r="M7" s="4">
        <v>1838797546</v>
      </c>
      <c r="N7" s="3">
        <v>63584</v>
      </c>
    </row>
    <row r="8" spans="1:14">
      <c r="A8" s="2">
        <v>45807</v>
      </c>
      <c r="B8" s="3" t="s">
        <v>14</v>
      </c>
      <c r="C8" s="4">
        <v>2296.5</v>
      </c>
      <c r="D8" s="4">
        <v>2304</v>
      </c>
      <c r="E8" s="4">
        <v>2255</v>
      </c>
      <c r="F8" s="4">
        <v>2294.3000000000002</v>
      </c>
      <c r="G8" s="4">
        <v>2261</v>
      </c>
      <c r="H8" s="4">
        <v>2259.1</v>
      </c>
      <c r="I8" s="4">
        <v>2263.6999999999998</v>
      </c>
      <c r="J8" s="4">
        <v>3394.9</v>
      </c>
      <c r="K8" s="4">
        <v>2124.75</v>
      </c>
      <c r="L8" s="3">
        <v>3610474</v>
      </c>
      <c r="M8" s="4">
        <v>8173046111.5</v>
      </c>
      <c r="N8" s="3">
        <v>82010</v>
      </c>
    </row>
    <row r="9" spans="1:14">
      <c r="A9" s="2">
        <v>45777</v>
      </c>
      <c r="B9" s="3" t="s">
        <v>14</v>
      </c>
      <c r="C9" s="4">
        <v>2450</v>
      </c>
      <c r="D9" s="4">
        <v>2462.1999999999998</v>
      </c>
      <c r="E9" s="4">
        <v>2401.5</v>
      </c>
      <c r="F9" s="4">
        <v>2451.1</v>
      </c>
      <c r="G9" s="4">
        <v>2416.5</v>
      </c>
      <c r="H9" s="4">
        <v>2425.6999999999998</v>
      </c>
      <c r="I9" s="4">
        <v>2432.2399999999998</v>
      </c>
      <c r="J9" s="4">
        <v>3394.9</v>
      </c>
      <c r="K9" s="4">
        <v>2124.75</v>
      </c>
      <c r="L9" s="3">
        <v>1479678</v>
      </c>
      <c r="M9" s="4">
        <v>3598936957</v>
      </c>
      <c r="N9" s="3">
        <v>77845</v>
      </c>
    </row>
    <row r="10" spans="1:14">
      <c r="A10" s="2">
        <v>45744</v>
      </c>
      <c r="B10" s="3" t="s">
        <v>14</v>
      </c>
      <c r="C10" s="4">
        <v>2343.9499999999998</v>
      </c>
      <c r="D10" s="4">
        <v>2364</v>
      </c>
      <c r="E10" s="4">
        <v>2325</v>
      </c>
      <c r="F10" s="4">
        <v>2338.1</v>
      </c>
      <c r="G10" s="4">
        <v>2326.25</v>
      </c>
      <c r="H10" s="4">
        <v>2340.65</v>
      </c>
      <c r="I10" s="4">
        <v>2343.4699999999998</v>
      </c>
      <c r="J10" s="4">
        <v>3394.9</v>
      </c>
      <c r="K10" s="4">
        <v>2124.75</v>
      </c>
      <c r="L10" s="3">
        <v>1281871</v>
      </c>
      <c r="M10" s="4">
        <v>3004027398.5999999</v>
      </c>
      <c r="N10" s="3">
        <v>67780</v>
      </c>
    </row>
    <row r="11" spans="1:14">
      <c r="A11" s="2">
        <v>45716</v>
      </c>
      <c r="B11" s="3" t="s">
        <v>14</v>
      </c>
      <c r="C11" s="4">
        <v>2210</v>
      </c>
      <c r="D11" s="4">
        <v>2211.35</v>
      </c>
      <c r="E11" s="4">
        <v>2175.8000000000002</v>
      </c>
      <c r="F11" s="4">
        <v>2213.65</v>
      </c>
      <c r="G11" s="4">
        <v>2181.1999999999998</v>
      </c>
      <c r="H11" s="4">
        <v>2179.75</v>
      </c>
      <c r="I11" s="4">
        <v>2186.11</v>
      </c>
      <c r="J11" s="4">
        <v>3394.9</v>
      </c>
      <c r="K11" s="4">
        <v>2175.8000000000002</v>
      </c>
      <c r="L11" s="3">
        <v>1701193</v>
      </c>
      <c r="M11" s="4">
        <v>3719003064.9499998</v>
      </c>
      <c r="N11" s="3">
        <v>99936</v>
      </c>
    </row>
    <row r="12" spans="1:14">
      <c r="A12" s="2">
        <v>45688</v>
      </c>
      <c r="B12" s="3" t="s">
        <v>14</v>
      </c>
      <c r="C12" s="4">
        <v>2255</v>
      </c>
      <c r="D12" s="4">
        <v>2305</v>
      </c>
      <c r="E12" s="4">
        <v>2234.85</v>
      </c>
      <c r="F12" s="4">
        <v>2249.85</v>
      </c>
      <c r="G12" s="4">
        <v>2305</v>
      </c>
      <c r="H12" s="4">
        <v>2300.8000000000002</v>
      </c>
      <c r="I12" s="4">
        <v>2280.31</v>
      </c>
      <c r="J12" s="4">
        <v>3394.9</v>
      </c>
      <c r="K12" s="4">
        <v>2207.8000000000002</v>
      </c>
      <c r="L12" s="3">
        <v>1292925</v>
      </c>
      <c r="M12" s="4">
        <v>2948269208.6999998</v>
      </c>
      <c r="N12" s="3">
        <v>77356</v>
      </c>
    </row>
    <row r="13" spans="1:14">
      <c r="A13" s="2">
        <v>45657</v>
      </c>
      <c r="B13" s="3" t="s">
        <v>14</v>
      </c>
      <c r="C13" s="4">
        <v>2280</v>
      </c>
      <c r="D13" s="4">
        <v>2297.65</v>
      </c>
      <c r="E13" s="4">
        <v>2273</v>
      </c>
      <c r="F13" s="4">
        <v>2288.25</v>
      </c>
      <c r="G13" s="4">
        <v>2284.1999999999998</v>
      </c>
      <c r="H13" s="4">
        <v>2281.35</v>
      </c>
      <c r="I13" s="4">
        <v>2284.3000000000002</v>
      </c>
      <c r="J13" s="4">
        <v>3411.8</v>
      </c>
      <c r="K13" s="4">
        <v>2256.5</v>
      </c>
      <c r="L13" s="3">
        <v>685486</v>
      </c>
      <c r="M13" s="4">
        <v>1565857129.3</v>
      </c>
      <c r="N13" s="3">
        <v>55912</v>
      </c>
    </row>
    <row r="15" spans="1:14">
      <c r="A15" t="s">
        <v>15</v>
      </c>
      <c r="B15">
        <f>B28</f>
        <v>2850</v>
      </c>
    </row>
    <row r="16" spans="1:14">
      <c r="A16" t="s">
        <v>16</v>
      </c>
      <c r="B16">
        <v>2758.55</v>
      </c>
    </row>
    <row r="17" spans="1:5">
      <c r="A17" s="12" t="s">
        <v>65</v>
      </c>
      <c r="B17" s="12" t="s">
        <v>67</v>
      </c>
      <c r="C17" s="13">
        <f>ABS(B15-'Simulated Price'!F2)</f>
        <v>86.760000000000218</v>
      </c>
      <c r="D17" s="12" t="s">
        <v>68</v>
      </c>
      <c r="E17" s="10">
        <f>ABS(B16-'Simulated Price'!F2)</f>
        <v>4.6899999999995998</v>
      </c>
    </row>
    <row r="18" spans="1:5">
      <c r="A18" t="s">
        <v>66</v>
      </c>
      <c r="C18" s="16">
        <f>C17/B15</f>
        <v>3.0442105263157972E-2</v>
      </c>
      <c r="D18" s="16"/>
      <c r="E18" s="16">
        <f>E17/B16</f>
        <v>1.7001685668193796E-3</v>
      </c>
    </row>
    <row r="19" spans="1:5" ht="16.5" thickBot="1"/>
    <row r="20" spans="1:5" ht="31.5" thickBot="1">
      <c r="A20" s="5" t="s">
        <v>69</v>
      </c>
      <c r="B20" s="5" t="s">
        <v>20</v>
      </c>
      <c r="C20" s="5" t="s">
        <v>21</v>
      </c>
      <c r="D20" s="5" t="s">
        <v>22</v>
      </c>
    </row>
    <row r="21" spans="1:5" ht="93.5" thickBot="1">
      <c r="A21" s="5" t="s">
        <v>23</v>
      </c>
      <c r="B21" s="9">
        <v>3200</v>
      </c>
      <c r="C21" s="6" t="s">
        <v>70</v>
      </c>
      <c r="D21" s="5" t="s">
        <v>71</v>
      </c>
    </row>
    <row r="22" spans="1:5" ht="109" thickBot="1">
      <c r="A22" s="5" t="s">
        <v>26</v>
      </c>
      <c r="B22" s="9">
        <v>2750</v>
      </c>
      <c r="C22" s="6" t="s">
        <v>72</v>
      </c>
      <c r="D22" s="5" t="s">
        <v>73</v>
      </c>
    </row>
    <row r="23" spans="1:5" ht="124.5" thickBot="1">
      <c r="A23" s="5" t="s">
        <v>29</v>
      </c>
      <c r="B23" s="9">
        <v>2900</v>
      </c>
      <c r="C23" s="6" t="s">
        <v>74</v>
      </c>
      <c r="D23" s="5" t="s">
        <v>75</v>
      </c>
    </row>
    <row r="24" spans="1:5" ht="93.5" thickBot="1">
      <c r="A24" s="5" t="s">
        <v>32</v>
      </c>
      <c r="B24" s="9">
        <v>2820</v>
      </c>
      <c r="C24" s="6" t="s">
        <v>76</v>
      </c>
      <c r="D24" s="5" t="s">
        <v>77</v>
      </c>
    </row>
    <row r="25" spans="1:5" ht="93.5" thickBot="1">
      <c r="A25" s="5" t="s">
        <v>35</v>
      </c>
      <c r="B25" s="9">
        <v>2780</v>
      </c>
      <c r="C25" s="6" t="s">
        <v>78</v>
      </c>
      <c r="D25" s="5" t="s">
        <v>79</v>
      </c>
    </row>
    <row r="26" spans="1:5" ht="109" thickBot="1">
      <c r="A26" s="5" t="s">
        <v>38</v>
      </c>
      <c r="B26" s="9">
        <v>2880</v>
      </c>
      <c r="C26" s="6" t="s">
        <v>80</v>
      </c>
      <c r="D26" s="5" t="s">
        <v>81</v>
      </c>
    </row>
    <row r="27" spans="1:5" ht="109" thickBot="1">
      <c r="A27" s="5" t="s">
        <v>41</v>
      </c>
      <c r="B27" s="9">
        <v>2600</v>
      </c>
      <c r="C27" s="6" t="s">
        <v>82</v>
      </c>
      <c r="D27" s="5" t="s">
        <v>83</v>
      </c>
    </row>
    <row r="28" spans="1:5" ht="16.5" thickBot="1">
      <c r="A28" s="5" t="s">
        <v>44</v>
      </c>
      <c r="B28" s="14">
        <v>2850</v>
      </c>
      <c r="C28" s="6"/>
      <c r="D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CB4A-F48B-D94D-BFF6-22481D05B8F9}">
  <dimension ref="A1:N28"/>
  <sheetViews>
    <sheetView workbookViewId="0">
      <selection activeCell="C18" sqref="C18:E18"/>
    </sheetView>
  </sheetViews>
  <sheetFormatPr defaultColWidth="10.6640625" defaultRowHeight="16"/>
  <cols>
    <col min="1" max="1" width="15.1640625" bestFit="1" customWidth="1"/>
    <col min="2" max="2" width="12.5" bestFit="1" customWidth="1"/>
    <col min="3" max="3" width="14.6640625" customWidth="1"/>
    <col min="4" max="4" width="15.9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45989</v>
      </c>
      <c r="B2" s="3" t="s">
        <v>14</v>
      </c>
      <c r="C2" s="3">
        <v>976.8</v>
      </c>
      <c r="D2" s="3">
        <v>983</v>
      </c>
      <c r="E2" s="3">
        <v>973.05</v>
      </c>
      <c r="F2" s="3">
        <v>972.85</v>
      </c>
      <c r="G2" s="3">
        <v>976.35</v>
      </c>
      <c r="H2" s="3">
        <v>979</v>
      </c>
      <c r="I2" s="3">
        <v>978.89</v>
      </c>
      <c r="J2" s="3">
        <v>999</v>
      </c>
      <c r="K2" s="3">
        <v>680</v>
      </c>
      <c r="L2" s="3">
        <v>8117842</v>
      </c>
      <c r="M2" s="4">
        <v>7946440355</v>
      </c>
      <c r="N2" s="3">
        <v>150394</v>
      </c>
    </row>
    <row r="3" spans="1:14">
      <c r="A3" s="2">
        <v>45961</v>
      </c>
      <c r="B3" s="3" t="s">
        <v>14</v>
      </c>
      <c r="C3" s="3">
        <v>934.9</v>
      </c>
      <c r="D3" s="3">
        <v>946.7</v>
      </c>
      <c r="E3" s="3">
        <v>930.25</v>
      </c>
      <c r="F3" s="3">
        <v>934.35</v>
      </c>
      <c r="G3" s="3">
        <v>937.5</v>
      </c>
      <c r="H3" s="3">
        <v>937</v>
      </c>
      <c r="I3" s="3">
        <v>939.16</v>
      </c>
      <c r="J3" s="3">
        <v>946.7</v>
      </c>
      <c r="K3" s="3">
        <v>680</v>
      </c>
      <c r="L3" s="3">
        <v>12078252</v>
      </c>
      <c r="M3" s="4">
        <v>11343369670.65</v>
      </c>
      <c r="N3" s="3">
        <v>261943</v>
      </c>
    </row>
    <row r="4" spans="1:14">
      <c r="A4" s="2">
        <v>45930</v>
      </c>
      <c r="B4" s="3" t="s">
        <v>14</v>
      </c>
      <c r="C4" s="3">
        <v>869.95</v>
      </c>
      <c r="D4" s="3">
        <v>877.6</v>
      </c>
      <c r="E4" s="3">
        <v>867.6</v>
      </c>
      <c r="F4" s="3">
        <v>870.75</v>
      </c>
      <c r="G4" s="3">
        <v>873.7</v>
      </c>
      <c r="H4" s="3">
        <v>872.45</v>
      </c>
      <c r="I4" s="3">
        <v>873.54</v>
      </c>
      <c r="J4" s="3">
        <v>880.5</v>
      </c>
      <c r="K4" s="3">
        <v>680</v>
      </c>
      <c r="L4" s="3">
        <v>12831593</v>
      </c>
      <c r="M4" s="4">
        <v>11208895455.700001</v>
      </c>
      <c r="N4" s="3">
        <v>205386</v>
      </c>
    </row>
    <row r="5" spans="1:14">
      <c r="A5" s="2">
        <v>45898</v>
      </c>
      <c r="B5" s="3" t="s">
        <v>14</v>
      </c>
      <c r="C5" s="3">
        <v>800.7</v>
      </c>
      <c r="D5" s="3">
        <v>806.7</v>
      </c>
      <c r="E5" s="3">
        <v>798.5</v>
      </c>
      <c r="F5" s="3">
        <v>801.95</v>
      </c>
      <c r="G5" s="3">
        <v>802.4</v>
      </c>
      <c r="H5" s="3">
        <v>802.5</v>
      </c>
      <c r="I5" s="3">
        <v>803</v>
      </c>
      <c r="J5" s="3">
        <v>875.45</v>
      </c>
      <c r="K5" s="3">
        <v>680</v>
      </c>
      <c r="L5" s="3">
        <v>6861440</v>
      </c>
      <c r="M5" s="4">
        <v>5509712391.6999998</v>
      </c>
      <c r="N5" s="3">
        <v>127449</v>
      </c>
    </row>
    <row r="6" spans="1:14">
      <c r="A6" s="2">
        <v>45869</v>
      </c>
      <c r="B6" s="3" t="s">
        <v>14</v>
      </c>
      <c r="C6" s="3">
        <v>795.1</v>
      </c>
      <c r="D6" s="3">
        <v>803.8</v>
      </c>
      <c r="E6" s="3">
        <v>792.55</v>
      </c>
      <c r="F6" s="3">
        <v>801.65</v>
      </c>
      <c r="G6" s="3">
        <v>796</v>
      </c>
      <c r="H6" s="3">
        <v>796.55</v>
      </c>
      <c r="I6" s="3">
        <v>798.31</v>
      </c>
      <c r="J6" s="3">
        <v>889.1</v>
      </c>
      <c r="K6" s="3">
        <v>680</v>
      </c>
      <c r="L6" s="3">
        <v>11359112</v>
      </c>
      <c r="M6" s="4">
        <v>9068069397.0499992</v>
      </c>
      <c r="N6" s="3">
        <v>185101</v>
      </c>
    </row>
    <row r="7" spans="1:14">
      <c r="A7" s="2">
        <v>45838</v>
      </c>
      <c r="B7" s="3" t="s">
        <v>14</v>
      </c>
      <c r="C7" s="3">
        <v>809</v>
      </c>
      <c r="D7" s="3">
        <v>821</v>
      </c>
      <c r="E7" s="3">
        <v>807.05</v>
      </c>
      <c r="F7" s="3">
        <v>805.4</v>
      </c>
      <c r="G7" s="3">
        <v>819.85</v>
      </c>
      <c r="H7" s="3">
        <v>820.35</v>
      </c>
      <c r="I7" s="3">
        <v>816.64</v>
      </c>
      <c r="J7" s="3">
        <v>899</v>
      </c>
      <c r="K7" s="3">
        <v>680</v>
      </c>
      <c r="L7" s="3">
        <v>19652607</v>
      </c>
      <c r="M7" s="4">
        <v>16049137157.549999</v>
      </c>
      <c r="N7" s="3">
        <v>249562</v>
      </c>
    </row>
    <row r="8" spans="1:14">
      <c r="A8" s="2">
        <v>45807</v>
      </c>
      <c r="B8" s="3" t="s">
        <v>14</v>
      </c>
      <c r="C8" s="3">
        <v>798</v>
      </c>
      <c r="D8" s="3">
        <v>814.5</v>
      </c>
      <c r="E8" s="3">
        <v>792.6</v>
      </c>
      <c r="F8" s="3">
        <v>797.35</v>
      </c>
      <c r="G8" s="3">
        <v>814</v>
      </c>
      <c r="H8" s="3">
        <v>812.3</v>
      </c>
      <c r="I8" s="3">
        <v>807.33</v>
      </c>
      <c r="J8" s="3">
        <v>912</v>
      </c>
      <c r="K8" s="3">
        <v>680</v>
      </c>
      <c r="L8" s="3">
        <v>22037314</v>
      </c>
      <c r="M8" s="4">
        <v>17791279933.650002</v>
      </c>
      <c r="N8" s="3">
        <v>217715</v>
      </c>
    </row>
    <row r="9" spans="1:14">
      <c r="A9" s="2">
        <v>45777</v>
      </c>
      <c r="B9" s="3" t="s">
        <v>14</v>
      </c>
      <c r="C9" s="3">
        <v>811.5</v>
      </c>
      <c r="D9" s="3">
        <v>811.5</v>
      </c>
      <c r="E9" s="3">
        <v>784.5</v>
      </c>
      <c r="F9" s="3">
        <v>812.55</v>
      </c>
      <c r="G9" s="3">
        <v>787.6</v>
      </c>
      <c r="H9" s="3">
        <v>788.65</v>
      </c>
      <c r="I9" s="3">
        <v>791.14</v>
      </c>
      <c r="J9" s="3">
        <v>912</v>
      </c>
      <c r="K9" s="3">
        <v>680</v>
      </c>
      <c r="L9" s="3">
        <v>25635764</v>
      </c>
      <c r="M9" s="4">
        <v>20281571431.099998</v>
      </c>
      <c r="N9" s="3">
        <v>476377</v>
      </c>
    </row>
    <row r="10" spans="1:14">
      <c r="A10" s="2">
        <v>45744</v>
      </c>
      <c r="B10" s="3" t="s">
        <v>14</v>
      </c>
      <c r="C10" s="3">
        <v>772.1</v>
      </c>
      <c r="D10" s="3">
        <v>778.6</v>
      </c>
      <c r="E10" s="3">
        <v>767</v>
      </c>
      <c r="F10" s="3">
        <v>772.3</v>
      </c>
      <c r="G10" s="3">
        <v>771.2</v>
      </c>
      <c r="H10" s="3">
        <v>771.5</v>
      </c>
      <c r="I10" s="3">
        <v>773.3</v>
      </c>
      <c r="J10" s="3">
        <v>912</v>
      </c>
      <c r="K10" s="3">
        <v>680</v>
      </c>
      <c r="L10" s="3">
        <v>7628185</v>
      </c>
      <c r="M10" s="4">
        <v>5898886414.5500002</v>
      </c>
      <c r="N10" s="3">
        <v>119920</v>
      </c>
    </row>
    <row r="11" spans="1:14">
      <c r="A11" s="2">
        <v>45716</v>
      </c>
      <c r="B11" s="3" t="s">
        <v>14</v>
      </c>
      <c r="C11" s="3">
        <v>700.9</v>
      </c>
      <c r="D11" s="3">
        <v>701.35</v>
      </c>
      <c r="E11" s="3">
        <v>682.6</v>
      </c>
      <c r="F11" s="3">
        <v>703.9</v>
      </c>
      <c r="G11" s="3">
        <v>689.8</v>
      </c>
      <c r="H11" s="3">
        <v>688.8</v>
      </c>
      <c r="I11" s="3">
        <v>690.06</v>
      </c>
      <c r="J11" s="3">
        <v>912</v>
      </c>
      <c r="K11" s="3">
        <v>682.6</v>
      </c>
      <c r="L11" s="3">
        <v>15780609</v>
      </c>
      <c r="M11" s="4">
        <v>10889517995.15</v>
      </c>
      <c r="N11" s="3">
        <v>252397</v>
      </c>
    </row>
    <row r="12" spans="1:14">
      <c r="A12" s="2">
        <v>45688</v>
      </c>
      <c r="B12" s="3" t="s">
        <v>14</v>
      </c>
      <c r="C12" s="3">
        <v>764.9</v>
      </c>
      <c r="D12" s="3">
        <v>777.55</v>
      </c>
      <c r="E12" s="3">
        <v>759.5</v>
      </c>
      <c r="F12" s="3">
        <v>762.6</v>
      </c>
      <c r="G12" s="3">
        <v>773.1</v>
      </c>
      <c r="H12" s="3">
        <v>772.9</v>
      </c>
      <c r="I12" s="3">
        <v>770.25</v>
      </c>
      <c r="J12" s="3">
        <v>912</v>
      </c>
      <c r="K12" s="3">
        <v>615.6</v>
      </c>
      <c r="L12" s="3">
        <v>10083763</v>
      </c>
      <c r="M12" s="4">
        <v>7766979527.6000004</v>
      </c>
      <c r="N12" s="3">
        <v>213867</v>
      </c>
    </row>
    <row r="13" spans="1:14">
      <c r="A13" s="2">
        <v>45657</v>
      </c>
      <c r="B13" s="3" t="s">
        <v>14</v>
      </c>
      <c r="C13" s="3">
        <v>786.95</v>
      </c>
      <c r="D13" s="3">
        <v>799.2</v>
      </c>
      <c r="E13" s="3">
        <v>786</v>
      </c>
      <c r="F13" s="3">
        <v>788.3</v>
      </c>
      <c r="G13" s="3">
        <v>796</v>
      </c>
      <c r="H13" s="3">
        <v>794.95</v>
      </c>
      <c r="I13" s="3">
        <v>794.69</v>
      </c>
      <c r="J13" s="3">
        <v>912</v>
      </c>
      <c r="K13" s="3">
        <v>600.65</v>
      </c>
      <c r="L13" s="3">
        <v>9086044</v>
      </c>
      <c r="M13" s="4">
        <v>7220600207.6999998</v>
      </c>
      <c r="N13" s="3">
        <v>162712</v>
      </c>
    </row>
    <row r="15" spans="1:14">
      <c r="A15" t="s">
        <v>15</v>
      </c>
      <c r="B15">
        <f>B28</f>
        <v>940</v>
      </c>
    </row>
    <row r="16" spans="1:14">
      <c r="A16" t="s">
        <v>16</v>
      </c>
      <c r="B16">
        <v>966.34</v>
      </c>
    </row>
    <row r="17" spans="1:5">
      <c r="A17" t="s">
        <v>18</v>
      </c>
      <c r="B17" s="12" t="s">
        <v>67</v>
      </c>
      <c r="C17" s="13">
        <f>ABS(B15-'Simulated Price'!F3)</f>
        <v>35.440000000000055</v>
      </c>
      <c r="D17" s="12" t="s">
        <v>68</v>
      </c>
      <c r="E17" s="10">
        <f>ABS(B16-'Simulated Price'!F3)</f>
        <v>9.1000000000000227</v>
      </c>
    </row>
    <row r="18" spans="1:5">
      <c r="A18" t="s">
        <v>17</v>
      </c>
      <c r="C18" s="13">
        <f>C17/B15</f>
        <v>3.7702127659574529E-2</v>
      </c>
      <c r="D18" s="13"/>
      <c r="E18" s="13">
        <f>E17/B16</f>
        <v>9.4169753916841098E-3</v>
      </c>
    </row>
    <row r="19" spans="1:5" ht="16.5" thickBot="1"/>
    <row r="20" spans="1:5" ht="31.5" thickBot="1">
      <c r="A20" s="5" t="s">
        <v>19</v>
      </c>
      <c r="B20" s="5" t="s">
        <v>20</v>
      </c>
      <c r="C20" s="5" t="s">
        <v>21</v>
      </c>
      <c r="D20" s="5" t="s">
        <v>22</v>
      </c>
    </row>
    <row r="21" spans="1:5" ht="155.5" thickBot="1">
      <c r="A21" s="5" t="s">
        <v>23</v>
      </c>
      <c r="B21" s="6">
        <v>950</v>
      </c>
      <c r="C21" s="6" t="s">
        <v>51</v>
      </c>
      <c r="D21" s="5" t="s">
        <v>52</v>
      </c>
    </row>
    <row r="22" spans="1:5" ht="140" thickBot="1">
      <c r="A22" s="5" t="s">
        <v>26</v>
      </c>
      <c r="B22" s="6">
        <v>920</v>
      </c>
      <c r="C22" s="6" t="s">
        <v>53</v>
      </c>
      <c r="D22" s="5" t="s">
        <v>54</v>
      </c>
    </row>
    <row r="23" spans="1:5" ht="124.5" thickBot="1">
      <c r="A23" s="5" t="s">
        <v>29</v>
      </c>
      <c r="B23" s="6">
        <v>960</v>
      </c>
      <c r="C23" s="6" t="s">
        <v>55</v>
      </c>
      <c r="D23" s="5" t="s">
        <v>56</v>
      </c>
    </row>
    <row r="24" spans="1:5" ht="124.5" thickBot="1">
      <c r="A24" s="5" t="s">
        <v>32</v>
      </c>
      <c r="B24" s="6">
        <v>940</v>
      </c>
      <c r="C24" s="6" t="s">
        <v>57</v>
      </c>
      <c r="D24" s="5" t="s">
        <v>58</v>
      </c>
    </row>
    <row r="25" spans="1:5" ht="109" thickBot="1">
      <c r="A25" s="5" t="s">
        <v>35</v>
      </c>
      <c r="B25" s="6">
        <v>930</v>
      </c>
      <c r="C25" s="6" t="s">
        <v>59</v>
      </c>
      <c r="D25" s="5" t="s">
        <v>60</v>
      </c>
    </row>
    <row r="26" spans="1:5" ht="109" thickBot="1">
      <c r="A26" s="5" t="s">
        <v>38</v>
      </c>
      <c r="B26" s="6">
        <v>910</v>
      </c>
      <c r="C26" s="6" t="s">
        <v>61</v>
      </c>
      <c r="D26" s="5" t="s">
        <v>62</v>
      </c>
    </row>
    <row r="27" spans="1:5" ht="140" thickBot="1">
      <c r="A27" s="5" t="s">
        <v>41</v>
      </c>
      <c r="B27" s="6">
        <v>970</v>
      </c>
      <c r="C27" s="6" t="s">
        <v>63</v>
      </c>
      <c r="D27" s="5" t="s">
        <v>64</v>
      </c>
    </row>
    <row r="28" spans="1:5" ht="31.5" thickBot="1">
      <c r="A28" s="5" t="s">
        <v>44</v>
      </c>
      <c r="B28" s="5">
        <v>940</v>
      </c>
      <c r="C28" s="6"/>
      <c r="D2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DBD0-D7F8-0B4F-97AD-6D4D43283CE5}">
  <dimension ref="A1:N28"/>
  <sheetViews>
    <sheetView topLeftCell="A7" workbookViewId="0">
      <selection activeCell="G21" sqref="G21"/>
    </sheetView>
  </sheetViews>
  <sheetFormatPr defaultColWidth="10.6640625" defaultRowHeight="16"/>
  <cols>
    <col min="1" max="1" width="15.1640625" bestFit="1" customWidth="1"/>
    <col min="2" max="2" width="12.5" bestFit="1" customWidth="1"/>
    <col min="3" max="3" width="20.33203125" customWidth="1"/>
    <col min="4" max="4" width="20.58203125" customWidth="1"/>
    <col min="13" max="14" width="14.332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45989</v>
      </c>
      <c r="B2" s="3" t="s">
        <v>14</v>
      </c>
      <c r="C2" s="3">
        <v>168.13</v>
      </c>
      <c r="D2" s="3">
        <v>169</v>
      </c>
      <c r="E2" s="3">
        <v>167.29</v>
      </c>
      <c r="F2" s="3">
        <v>168.13</v>
      </c>
      <c r="G2" s="3">
        <v>168.14</v>
      </c>
      <c r="H2" s="3">
        <v>167.96</v>
      </c>
      <c r="I2" s="3">
        <v>168.06</v>
      </c>
      <c r="J2" s="3">
        <v>186.94</v>
      </c>
      <c r="K2" s="3">
        <v>122.62</v>
      </c>
      <c r="L2" s="3">
        <v>11975539</v>
      </c>
      <c r="M2" s="4">
        <v>2012626665.6500001</v>
      </c>
      <c r="N2" s="3">
        <v>107176</v>
      </c>
    </row>
    <row r="3" spans="1:14">
      <c r="A3" s="2">
        <v>45961</v>
      </c>
      <c r="B3" s="3" t="s">
        <v>14</v>
      </c>
      <c r="C3" s="3">
        <v>184</v>
      </c>
      <c r="D3" s="3">
        <v>184.3</v>
      </c>
      <c r="E3" s="3">
        <v>182.12</v>
      </c>
      <c r="F3" s="3">
        <v>184.35</v>
      </c>
      <c r="G3" s="3">
        <v>182.9</v>
      </c>
      <c r="H3" s="3">
        <v>182.84</v>
      </c>
      <c r="I3" s="3">
        <v>183.02</v>
      </c>
      <c r="J3" s="3">
        <v>186.94</v>
      </c>
      <c r="K3" s="3">
        <v>122.62</v>
      </c>
      <c r="L3" s="3">
        <v>16041321</v>
      </c>
      <c r="M3" s="4">
        <v>2935957168.5900002</v>
      </c>
      <c r="N3" s="3">
        <v>135184</v>
      </c>
    </row>
    <row r="4" spans="1:14">
      <c r="A4" s="2">
        <v>45930</v>
      </c>
      <c r="B4" s="3" t="s">
        <v>14</v>
      </c>
      <c r="C4" s="3">
        <v>169.5</v>
      </c>
      <c r="D4" s="3">
        <v>170.15</v>
      </c>
      <c r="E4" s="3">
        <v>168.41</v>
      </c>
      <c r="F4" s="3">
        <v>168.98</v>
      </c>
      <c r="G4" s="3">
        <v>169.05</v>
      </c>
      <c r="H4" s="3">
        <v>168.77</v>
      </c>
      <c r="I4" s="3">
        <v>169.03</v>
      </c>
      <c r="J4" s="3">
        <v>174.44</v>
      </c>
      <c r="K4" s="3">
        <v>122.62</v>
      </c>
      <c r="L4" s="3">
        <v>24553596</v>
      </c>
      <c r="M4" s="4">
        <v>4150283055.3000002</v>
      </c>
      <c r="N4" s="3">
        <v>136022</v>
      </c>
    </row>
    <row r="5" spans="1:14">
      <c r="A5" s="2">
        <v>45898</v>
      </c>
      <c r="B5" s="3" t="s">
        <v>14</v>
      </c>
      <c r="C5" s="3">
        <v>154.5</v>
      </c>
      <c r="D5" s="3">
        <v>155.1</v>
      </c>
      <c r="E5" s="3">
        <v>153.05000000000001</v>
      </c>
      <c r="F5" s="3">
        <v>153.63</v>
      </c>
      <c r="G5" s="3">
        <v>154.5</v>
      </c>
      <c r="H5" s="3">
        <v>154.47999999999999</v>
      </c>
      <c r="I5" s="3">
        <v>154.38999999999999</v>
      </c>
      <c r="J5" s="3">
        <v>170.18</v>
      </c>
      <c r="K5" s="3">
        <v>122.62</v>
      </c>
      <c r="L5" s="3">
        <v>16971859</v>
      </c>
      <c r="M5" s="4">
        <v>2620318128.23</v>
      </c>
      <c r="N5" s="3">
        <v>134583</v>
      </c>
    </row>
    <row r="6" spans="1:14">
      <c r="A6" s="2">
        <v>45869</v>
      </c>
      <c r="B6" s="3" t="s">
        <v>14</v>
      </c>
      <c r="C6" s="3">
        <v>161</v>
      </c>
      <c r="D6" s="3">
        <v>162.13</v>
      </c>
      <c r="E6" s="3">
        <v>156.56</v>
      </c>
      <c r="F6" s="3">
        <v>161.36000000000001</v>
      </c>
      <c r="G6" s="3">
        <v>157.30000000000001</v>
      </c>
      <c r="H6" s="3">
        <v>157.94</v>
      </c>
      <c r="I6" s="3">
        <v>160.15</v>
      </c>
      <c r="J6" s="3">
        <v>170.18</v>
      </c>
      <c r="K6" s="3">
        <v>122.62</v>
      </c>
      <c r="L6" s="3">
        <v>26213891</v>
      </c>
      <c r="M6" s="4">
        <v>4198175446.1199999</v>
      </c>
      <c r="N6" s="3">
        <v>155822</v>
      </c>
    </row>
    <row r="7" spans="1:14">
      <c r="A7" s="2">
        <v>45838</v>
      </c>
      <c r="B7" s="3" t="s">
        <v>14</v>
      </c>
      <c r="C7" s="3">
        <v>160.99</v>
      </c>
      <c r="D7" s="3">
        <v>162.19999999999999</v>
      </c>
      <c r="E7" s="3">
        <v>159.5</v>
      </c>
      <c r="F7" s="3">
        <v>161.44999999999999</v>
      </c>
      <c r="G7" s="3">
        <v>159.80000000000001</v>
      </c>
      <c r="H7" s="3">
        <v>159.76</v>
      </c>
      <c r="I7" s="3">
        <v>160.62</v>
      </c>
      <c r="J7" s="3">
        <v>178.19</v>
      </c>
      <c r="K7" s="3">
        <v>122.62</v>
      </c>
      <c r="L7" s="3">
        <v>15842285</v>
      </c>
      <c r="M7" s="4">
        <v>2544527360.8800001</v>
      </c>
      <c r="N7" s="3">
        <v>143198</v>
      </c>
    </row>
    <row r="8" spans="1:14">
      <c r="A8" s="2">
        <v>45807</v>
      </c>
      <c r="B8" s="3" t="s">
        <v>14</v>
      </c>
      <c r="C8" s="3">
        <v>163.11000000000001</v>
      </c>
      <c r="D8" s="3">
        <v>163.89</v>
      </c>
      <c r="E8" s="3">
        <v>160.51</v>
      </c>
      <c r="F8" s="3">
        <v>163.12</v>
      </c>
      <c r="G8" s="3">
        <v>161</v>
      </c>
      <c r="H8" s="3">
        <v>161.02000000000001</v>
      </c>
      <c r="I8" s="3">
        <v>161.30000000000001</v>
      </c>
      <c r="J8" s="3">
        <v>184.6</v>
      </c>
      <c r="K8" s="3">
        <v>122.62</v>
      </c>
      <c r="L8" s="3">
        <v>32739340</v>
      </c>
      <c r="M8" s="4">
        <v>5280769846.8800001</v>
      </c>
      <c r="N8" s="3">
        <v>151091</v>
      </c>
    </row>
    <row r="9" spans="1:14">
      <c r="A9" s="2">
        <v>45777</v>
      </c>
      <c r="B9" s="3" t="s">
        <v>14</v>
      </c>
      <c r="C9" s="3">
        <v>141.44999999999999</v>
      </c>
      <c r="D9" s="3">
        <v>141.56</v>
      </c>
      <c r="E9" s="3">
        <v>138</v>
      </c>
      <c r="F9" s="3">
        <v>141.5</v>
      </c>
      <c r="G9" s="3">
        <v>139.56</v>
      </c>
      <c r="H9" s="3">
        <v>140.08000000000001</v>
      </c>
      <c r="I9" s="3">
        <v>140.63</v>
      </c>
      <c r="J9" s="3">
        <v>184.6</v>
      </c>
      <c r="K9" s="3">
        <v>122.62</v>
      </c>
      <c r="L9" s="3">
        <v>29205042</v>
      </c>
      <c r="M9" s="4">
        <v>4107241617.98</v>
      </c>
      <c r="N9" s="3">
        <v>149767</v>
      </c>
    </row>
    <row r="10" spans="1:14">
      <c r="A10" s="2">
        <v>45744</v>
      </c>
      <c r="B10" s="3" t="s">
        <v>14</v>
      </c>
      <c r="C10" s="3">
        <v>155.38</v>
      </c>
      <c r="D10" s="3">
        <v>156.91</v>
      </c>
      <c r="E10" s="3">
        <v>153.37</v>
      </c>
      <c r="F10" s="3">
        <v>155.41999999999999</v>
      </c>
      <c r="G10" s="3">
        <v>153.97999999999999</v>
      </c>
      <c r="H10" s="3">
        <v>154.24</v>
      </c>
      <c r="I10" s="3">
        <v>154.5</v>
      </c>
      <c r="J10" s="3">
        <v>184.6</v>
      </c>
      <c r="K10" s="3">
        <v>122.62</v>
      </c>
      <c r="L10" s="3">
        <v>24589315</v>
      </c>
      <c r="M10" s="4">
        <v>3798935508.2600002</v>
      </c>
      <c r="N10" s="3">
        <v>105656</v>
      </c>
    </row>
    <row r="11" spans="1:14">
      <c r="A11" s="2">
        <v>45716</v>
      </c>
      <c r="B11" s="3" t="s">
        <v>14</v>
      </c>
      <c r="C11" s="3">
        <v>137.80000000000001</v>
      </c>
      <c r="D11" s="3">
        <v>137.80000000000001</v>
      </c>
      <c r="E11" s="3">
        <v>134.06</v>
      </c>
      <c r="F11" s="3">
        <v>138.69</v>
      </c>
      <c r="G11" s="3">
        <v>137.16</v>
      </c>
      <c r="H11" s="3">
        <v>137.19999999999999</v>
      </c>
      <c r="I11" s="3">
        <v>136.22999999999999</v>
      </c>
      <c r="J11" s="3">
        <v>184.6</v>
      </c>
      <c r="K11" s="3">
        <v>122.62</v>
      </c>
      <c r="L11" s="3">
        <v>45540594</v>
      </c>
      <c r="M11" s="4">
        <v>6203916419.2700005</v>
      </c>
      <c r="N11" s="3">
        <v>270079</v>
      </c>
    </row>
    <row r="12" spans="1:14">
      <c r="A12" s="2">
        <v>45688</v>
      </c>
      <c r="B12" s="3" t="s">
        <v>14</v>
      </c>
      <c r="C12" s="3">
        <v>131.12</v>
      </c>
      <c r="D12" s="3">
        <v>135</v>
      </c>
      <c r="E12" s="3">
        <v>129.93</v>
      </c>
      <c r="F12" s="3">
        <v>131.12</v>
      </c>
      <c r="G12" s="3">
        <v>134.9</v>
      </c>
      <c r="H12" s="3">
        <v>134.62</v>
      </c>
      <c r="I12" s="3">
        <v>133.62</v>
      </c>
      <c r="J12" s="3">
        <v>184.6</v>
      </c>
      <c r="K12" s="3">
        <v>122.62</v>
      </c>
      <c r="L12" s="3">
        <v>26689228</v>
      </c>
      <c r="M12" s="4">
        <v>3566338275.8699999</v>
      </c>
      <c r="N12" s="3">
        <v>170870</v>
      </c>
    </row>
    <row r="13" spans="1:14">
      <c r="A13" s="2">
        <v>45657</v>
      </c>
      <c r="B13" s="3" t="s">
        <v>14</v>
      </c>
      <c r="C13" s="3">
        <v>136.87</v>
      </c>
      <c r="D13" s="3">
        <v>138.68</v>
      </c>
      <c r="E13" s="3">
        <v>136.56</v>
      </c>
      <c r="F13" s="3">
        <v>136.88</v>
      </c>
      <c r="G13" s="3">
        <v>138.1</v>
      </c>
      <c r="H13" s="3">
        <v>138.05000000000001</v>
      </c>
      <c r="I13" s="3">
        <v>137.63</v>
      </c>
      <c r="J13" s="3">
        <v>184.6</v>
      </c>
      <c r="K13" s="3">
        <v>128.19999999999999</v>
      </c>
      <c r="L13" s="3">
        <v>20080291</v>
      </c>
      <c r="M13" s="4">
        <v>2763636940.2399998</v>
      </c>
      <c r="N13" s="3">
        <v>184867</v>
      </c>
    </row>
    <row r="15" spans="1:14">
      <c r="A15" t="s">
        <v>15</v>
      </c>
      <c r="B15">
        <f>B28</f>
        <v>165</v>
      </c>
    </row>
    <row r="16" spans="1:14">
      <c r="A16" t="s">
        <v>16</v>
      </c>
      <c r="B16">
        <v>158.86000000000001</v>
      </c>
    </row>
    <row r="17" spans="1:5">
      <c r="A17" t="s">
        <v>18</v>
      </c>
      <c r="B17" s="12" t="s">
        <v>67</v>
      </c>
      <c r="C17" s="13">
        <f>ABS(B15-'Simulated Price'!F4)</f>
        <v>8.0999999999999943</v>
      </c>
      <c r="D17" s="12" t="s">
        <v>68</v>
      </c>
      <c r="E17" s="10">
        <f>ABS(B16-'Simulated Price'!F4)</f>
        <v>14.239999999999981</v>
      </c>
    </row>
    <row r="18" spans="1:5">
      <c r="A18" t="s">
        <v>17</v>
      </c>
      <c r="C18" s="13">
        <f>C17/B15</f>
        <v>4.9090909090909053E-2</v>
      </c>
      <c r="D18" s="13"/>
      <c r="E18" s="13">
        <f>E17/B16</f>
        <v>8.9638675563389017E-2</v>
      </c>
    </row>
    <row r="19" spans="1:5" ht="16.5" thickBot="1"/>
    <row r="20" spans="1:5" ht="31.5" thickBot="1">
      <c r="A20" s="5" t="s">
        <v>19</v>
      </c>
      <c r="B20" s="5" t="s">
        <v>20</v>
      </c>
      <c r="C20" s="5" t="s">
        <v>21</v>
      </c>
      <c r="D20" s="5" t="s">
        <v>22</v>
      </c>
    </row>
    <row r="21" spans="1:5" ht="140" thickBot="1">
      <c r="A21" s="5" t="s">
        <v>23</v>
      </c>
      <c r="B21" s="6">
        <v>168</v>
      </c>
      <c r="C21" s="6" t="s">
        <v>24</v>
      </c>
      <c r="D21" s="5" t="s">
        <v>25</v>
      </c>
    </row>
    <row r="22" spans="1:5" ht="124.5" thickBot="1">
      <c r="A22" s="5" t="s">
        <v>26</v>
      </c>
      <c r="B22" s="6">
        <v>160</v>
      </c>
      <c r="C22" s="6" t="s">
        <v>27</v>
      </c>
      <c r="D22" s="5" t="s">
        <v>28</v>
      </c>
    </row>
    <row r="23" spans="1:5" ht="124.5" thickBot="1">
      <c r="A23" s="5" t="s">
        <v>29</v>
      </c>
      <c r="B23" s="6">
        <v>155</v>
      </c>
      <c r="C23" s="6" t="s">
        <v>30</v>
      </c>
      <c r="D23" s="5" t="s">
        <v>31</v>
      </c>
    </row>
    <row r="24" spans="1:5" ht="155.5" thickBot="1">
      <c r="A24" s="5" t="s">
        <v>32</v>
      </c>
      <c r="B24" s="6">
        <v>170</v>
      </c>
      <c r="C24" s="6" t="s">
        <v>33</v>
      </c>
      <c r="D24" s="5" t="s">
        <v>34</v>
      </c>
    </row>
    <row r="25" spans="1:5" ht="140" thickBot="1">
      <c r="A25" s="5" t="s">
        <v>35</v>
      </c>
      <c r="B25" s="6">
        <v>165</v>
      </c>
      <c r="C25" s="6" t="s">
        <v>36</v>
      </c>
      <c r="D25" s="5" t="s">
        <v>37</v>
      </c>
    </row>
    <row r="26" spans="1:5" ht="124.5" thickBot="1">
      <c r="A26" s="5" t="s">
        <v>38</v>
      </c>
      <c r="B26" s="6">
        <v>162</v>
      </c>
      <c r="C26" s="6" t="s">
        <v>39</v>
      </c>
      <c r="D26" s="5" t="s">
        <v>40</v>
      </c>
    </row>
    <row r="27" spans="1:5" ht="140" thickBot="1">
      <c r="A27" s="5" t="s">
        <v>41</v>
      </c>
      <c r="B27" s="6">
        <v>175</v>
      </c>
      <c r="C27" s="6" t="s">
        <v>42</v>
      </c>
      <c r="D27" s="5" t="s">
        <v>43</v>
      </c>
    </row>
    <row r="28" spans="1:5" ht="16.5" thickBot="1">
      <c r="A28" s="5" t="s">
        <v>44</v>
      </c>
      <c r="B28" s="5">
        <v>165</v>
      </c>
      <c r="C28" s="6"/>
      <c r="D2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4463-CF1D-45EB-8992-D24F4C7977D9}">
  <dimension ref="A1:J4"/>
  <sheetViews>
    <sheetView tabSelected="1" workbookViewId="0">
      <selection sqref="A1:J4"/>
    </sheetView>
  </sheetViews>
  <sheetFormatPr defaultRowHeight="16"/>
  <cols>
    <col min="1" max="1" width="11.1640625" bestFit="1" customWidth="1"/>
    <col min="3" max="5" width="9.58203125" bestFit="1" customWidth="1"/>
    <col min="6" max="6" width="13.83203125" customWidth="1"/>
    <col min="7" max="7" width="11.6640625" customWidth="1"/>
    <col min="8" max="8" width="13.5" bestFit="1" customWidth="1"/>
    <col min="9" max="9" width="20.75" bestFit="1" customWidth="1"/>
    <col min="10" max="10" width="10.6640625" bestFit="1" customWidth="1"/>
  </cols>
  <sheetData>
    <row r="1" spans="1:10" ht="31.5" thickBot="1">
      <c r="A1" s="5" t="s">
        <v>0</v>
      </c>
      <c r="B1" s="5" t="s">
        <v>45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46</v>
      </c>
      <c r="H1" s="5" t="s">
        <v>11</v>
      </c>
      <c r="I1" s="5" t="s">
        <v>12</v>
      </c>
      <c r="J1" s="5" t="s">
        <v>47</v>
      </c>
    </row>
    <row r="2" spans="1:10" ht="31.5" thickBot="1">
      <c r="A2" s="7">
        <v>46022</v>
      </c>
      <c r="B2" s="5" t="s">
        <v>48</v>
      </c>
      <c r="C2" s="11">
        <v>2780</v>
      </c>
      <c r="D2" s="11">
        <v>2895.62</v>
      </c>
      <c r="E2" s="11">
        <v>2691.72</v>
      </c>
      <c r="F2" s="15">
        <v>2763.24</v>
      </c>
      <c r="G2" s="8">
        <v>-6.0000000000000001E-3</v>
      </c>
      <c r="H2" s="9">
        <v>22566547</v>
      </c>
      <c r="I2" s="11">
        <v>62814605609.940002</v>
      </c>
      <c r="J2" s="9">
        <v>169429</v>
      </c>
    </row>
    <row r="3" spans="1:10" ht="16.5" thickBot="1">
      <c r="A3" s="7">
        <v>46022</v>
      </c>
      <c r="B3" s="5" t="s">
        <v>49</v>
      </c>
      <c r="C3" s="6">
        <v>966</v>
      </c>
      <c r="D3" s="6">
        <v>998.79</v>
      </c>
      <c r="E3" s="6">
        <v>924.73</v>
      </c>
      <c r="F3" s="5">
        <v>975.44</v>
      </c>
      <c r="G3" s="8">
        <v>9.7999999999999997E-3</v>
      </c>
      <c r="H3" s="9">
        <v>314527291</v>
      </c>
      <c r="I3" s="11">
        <v>303934326439.29999</v>
      </c>
      <c r="J3" s="9">
        <v>1430284</v>
      </c>
    </row>
    <row r="4" spans="1:10" ht="31.5" thickBot="1">
      <c r="A4" s="7">
        <v>46022</v>
      </c>
      <c r="B4" s="5" t="s">
        <v>50</v>
      </c>
      <c r="C4" s="6">
        <v>172</v>
      </c>
      <c r="D4" s="6">
        <v>176.67</v>
      </c>
      <c r="E4" s="6">
        <v>164.46</v>
      </c>
      <c r="F4" s="5">
        <v>173.1</v>
      </c>
      <c r="G4" s="8">
        <v>6.4000000000000003E-3</v>
      </c>
      <c r="H4" s="9">
        <v>953361307</v>
      </c>
      <c r="I4" s="11">
        <v>163412603240.07001</v>
      </c>
      <c r="J4" s="9">
        <v>4118015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AsianPaints</vt:lpstr>
      <vt:lpstr>SBI</vt:lpstr>
      <vt:lpstr>Tata steel</vt:lpstr>
      <vt:lpstr>Simulated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BHASIN</dc:creator>
  <cp:lastModifiedBy>Shashank Rai</cp:lastModifiedBy>
  <dcterms:created xsi:type="dcterms:W3CDTF">2025-12-15T09:14:43Z</dcterms:created>
  <dcterms:modified xsi:type="dcterms:W3CDTF">2025-12-15T11:53:43Z</dcterms:modified>
</cp:coreProperties>
</file>